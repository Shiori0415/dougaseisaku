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ップグレード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3">
    <font>
      <name val="Calibri"/>
      <family val="2"/>
      <color theme="1"/>
      <sz val="11"/>
      <scheme val="minor"/>
    </font>
    <font>
      <name val="Meiryo"/>
      <color rgb="005B6266"/>
      <sz val="9"/>
    </font>
    <font>
      <name val="Meiryo"/>
      <b val="1"/>
      <color rgb="001A1A1A"/>
      <sz val="18"/>
    </font>
    <font>
      <name val="Meiryo"/>
      <color rgb="005B6266"/>
      <sz val="10"/>
    </font>
    <font>
      <name val="Meiryo"/>
      <b val="1"/>
      <color rgb="00A8672A"/>
      <sz val="9"/>
    </font>
    <font>
      <name val="Meiryo"/>
      <b val="1"/>
      <color rgb="005B6266"/>
      <sz val="9"/>
    </font>
    <font>
      <name val="Meiryo"/>
      <color rgb="001A1A1A"/>
      <sz val="10"/>
    </font>
    <font>
      <name val="Meiryo"/>
      <b val="1"/>
      <color rgb="001A1A1A"/>
      <sz val="10"/>
    </font>
    <font>
      <name val="Meiryo"/>
      <color rgb="000563C1"/>
      <sz val="9"/>
      <u val="single"/>
    </font>
    <font>
      <name val="Meiryo"/>
      <b val="1"/>
      <color rgb="001A1A1A"/>
      <sz val="12"/>
    </font>
    <font>
      <name val="Meiryo"/>
      <b val="1"/>
      <color rgb="00A8672A"/>
      <sz val="10"/>
    </font>
    <font>
      <name val="Meiryo"/>
      <b val="1"/>
      <color rgb="00A8672A"/>
      <sz val="12"/>
    </font>
    <font>
      <name val="Meiryo"/>
      <b val="1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E4E7E7"/>
      </patternFill>
    </fill>
    <fill>
      <patternFill patternType="solid">
        <fgColor rgb="00FFF6D9"/>
      </patternFill>
    </fill>
    <fill>
      <patternFill patternType="solid">
        <fgColor rgb="00E7F0EA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D6DADB"/>
      </left>
      <right style="thin">
        <color rgb="00D6DADB"/>
      </right>
      <top style="thin">
        <color rgb="00D6DADB"/>
      </top>
      <bottom style="thin">
        <color rgb="00D6DA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right" vertical="top"/>
    </xf>
    <xf numFmtId="164" fontId="6" fillId="3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9" fillId="0" borderId="0" pivotButton="0" quotePrefix="0" xfId="0"/>
    <xf numFmtId="0" fontId="5" fillId="2" borderId="1" pivotButton="0" quotePrefix="0" xfId="0"/>
    <xf numFmtId="0" fontId="7" fillId="0" borderId="1" pivotButton="0" quotePrefix="0" xfId="0"/>
    <xf numFmtId="0" fontId="3" fillId="0" borderId="1" pivotButton="0" quotePrefix="0" xfId="0"/>
    <xf numFmtId="3" fontId="9" fillId="0" borderId="1" applyAlignment="1" pivotButton="0" quotePrefix="0" xfId="0">
      <alignment horizontal="right"/>
    </xf>
    <xf numFmtId="0" fontId="10" fillId="0" borderId="1" pivotButton="0" quotePrefix="0" xfId="0"/>
    <xf numFmtId="3" fontId="11" fillId="0" borderId="1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jp/dp/B0CFZX734J" TargetMode="External" Id="rId1"/><Relationship Type="http://schemas.openxmlformats.org/officeDocument/2006/relationships/hyperlink" Target="https://www.ginichi.com/shop/products/detail.php?product_id=118199" TargetMode="External" Id="rId2"/><Relationship Type="http://schemas.openxmlformats.org/officeDocument/2006/relationships/hyperlink" Target="https://item.rakuten.co.jp/phototiroya/268-00/" TargetMode="External" Id="rId3"/><Relationship Type="http://schemas.openxmlformats.org/officeDocument/2006/relationships/hyperlink" Target="https://kakaku.com/item/K0001065920/" TargetMode="External" Id="rId4"/><Relationship Type="http://schemas.openxmlformats.org/officeDocument/2006/relationships/hyperlink" Target="https://www.amazon.co.jp/dp/B09J4GXV63" TargetMode="External" Id="rId5"/><Relationship Type="http://schemas.openxmlformats.org/officeDocument/2006/relationships/hyperlink" Target="https://www.amazon.co.jp/dp/B0CSL4PXDV" TargetMode="External" Id="rId6"/><Relationship Type="http://schemas.openxmlformats.org/officeDocument/2006/relationships/hyperlink" Target="https://www.amazon.co.jp/dp/B09MRLGL7G" TargetMode="External" Id="rId7"/><Relationship Type="http://schemas.openxmlformats.org/officeDocument/2006/relationships/hyperlink" Target="https://www.amazon.co.jp/dp/B0CHNY19K3" TargetMode="External" Id="rId8"/><Relationship Type="http://schemas.openxmlformats.org/officeDocument/2006/relationships/hyperlink" Target="https://www.signmall.jp/item/10899910261.html" TargetMode="External" Id="rId9"/><Relationship Type="http://schemas.openxmlformats.org/officeDocument/2006/relationships/hyperlink" Target="https://www.amazon.co.jp/dp/B0C49DT18X" TargetMode="External" Id="rId10"/><Relationship Type="http://schemas.openxmlformats.org/officeDocument/2006/relationships/hyperlink" Target="https://www.amazon.co.jp/s?k=SanDisk+Extreme+SD+128GB+V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2" customWidth="1" min="4" max="4"/>
    <col width="38" customWidth="1" min="5" max="5"/>
    <col width="12" customWidth="1" min="6" max="6"/>
    <col width="10" customWidth="1" min="7" max="7"/>
    <col width="56" customWidth="1" min="8" max="8"/>
    <col width="30" customWidth="1" min="9" max="9"/>
  </cols>
  <sheetData>
    <row r="1">
      <c r="A1" s="1" t="inlineStr">
        <is>
          <t>BROOKLYN MUSEUM ／ 向島工房　動画制作</t>
        </is>
      </c>
    </row>
    <row r="2">
      <c r="A2" s="2" t="inlineStr">
        <is>
          <t>撮影機材　アップグレード案</t>
        </is>
      </c>
    </row>
    <row r="3">
      <c r="A3" s="3" t="inlineStr">
        <is>
          <t>カメラはお手持ちのものを使う前提。最小構成（約78,500円）から、どこにいくら足すと何が変わるかをまとめました。</t>
        </is>
      </c>
    </row>
    <row r="5">
      <c r="A5" s="4" t="inlineStr">
        <is>
          <t>見かた</t>
        </is>
      </c>
    </row>
    <row r="6">
      <c r="A6" s="1" t="inlineStr">
        <is>
          <t>優先度A＝いちばん効く2つ（音と、カメラの支え）。B＝画づくりが変わる。「─」の行は上げても差が出ないので据え置きです。薄い黄色のセルを書き換えると3つの合計が計算し直されます。</t>
        </is>
      </c>
    </row>
    <row r="8" ht="24" customHeight="1">
      <c r="A8" s="5" t="inlineStr">
        <is>
          <t>優先度</t>
        </is>
      </c>
      <c r="B8" s="5" t="inlineStr">
        <is>
          <t>品目</t>
        </is>
      </c>
      <c r="C8" s="5" t="inlineStr">
        <is>
          <t>いまの案</t>
        </is>
      </c>
      <c r="D8" s="5" t="inlineStr">
        <is>
          <t>いまの価格</t>
        </is>
      </c>
      <c r="E8" s="5" t="inlineStr">
        <is>
          <t>上げる場合</t>
        </is>
      </c>
      <c r="F8" s="5" t="inlineStr">
        <is>
          <t>上げた価格</t>
        </is>
      </c>
      <c r="G8" s="5" t="inlineStr">
        <is>
          <t>差額</t>
        </is>
      </c>
      <c r="H8" s="5" t="inlineStr">
        <is>
          <t>何が変わるか</t>
        </is>
      </c>
      <c r="I8" s="5" t="inlineStr">
        <is>
          <t>商品ページ</t>
        </is>
      </c>
    </row>
    <row r="9" ht="52" customHeight="1">
      <c r="A9" s="6" t="inlineStr">
        <is>
          <t>A</t>
        </is>
      </c>
      <c r="B9" s="7" t="inlineStr">
        <is>
          <t>マイク（追加）</t>
        </is>
      </c>
      <c r="C9" s="8" t="inlineStr">
        <is>
          <t>─（ガンマイクのみ）</t>
        </is>
      </c>
      <c r="D9" s="9" t="n">
        <v>0</v>
      </c>
      <c r="E9" s="8" t="inlineStr">
        <is>
          <t>DJI Mic 2（送信機2＋受信機＋充電ケース）</t>
        </is>
      </c>
      <c r="F9" s="10" t="n">
        <v>34339</v>
      </c>
      <c r="G9" s="9">
        <f>F9-D9</f>
        <v/>
      </c>
      <c r="H9" s="8" t="inlineStr">
        <is>
          <t>インタビュー4人分の声が別物になる。服に留めるので口元30cmで録れ、ガンマイクの「離れた音」ではなくなる。32bitフロート内部収録で音割れもしない</t>
        </is>
      </c>
      <c r="I9" s="11" t="inlineStr">
        <is>
          <t>https://www.amazon.co.jp/dp/B0CFZX734J</t>
        </is>
      </c>
    </row>
    <row r="10" ht="52" customHeight="1">
      <c r="A10" s="6" t="inlineStr">
        <is>
          <t>A</t>
        </is>
      </c>
      <c r="B10" s="7" t="inlineStr">
        <is>
          <t>三脚（雲台付き）</t>
        </is>
      </c>
      <c r="C10" s="8" t="inlineStr">
        <is>
          <t>Velbon EX-440</t>
        </is>
      </c>
      <c r="D10" s="9" t="n">
        <v>3012</v>
      </c>
      <c r="E10" s="8" t="inlineStr">
        <is>
          <t>Manfrotto Befree live アルミニウムT三脚 ビデオ雲台キット（MVKBFRT-LIVE）</t>
        </is>
      </c>
      <c r="F10" s="10" t="n">
        <v>30800</v>
      </c>
      <c r="G10" s="9">
        <f>F10-D10</f>
        <v/>
      </c>
      <c r="H10" s="8" t="inlineStr">
        <is>
          <t>フルード雲台になり、パン・ティルトがなめらかに止まる。約3,000円の三脚は「置いて固定」はできるが、動かしながら撮るとカクつく</t>
        </is>
      </c>
      <c r="I10" s="11" t="inlineStr">
        <is>
          <t>https://www.ginichi.com/shop/products/detail.php?product_id=118199</t>
        </is>
      </c>
    </row>
    <row r="11" ht="52" customHeight="1">
      <c r="A11" s="6" t="inlineStr">
        <is>
          <t>B</t>
        </is>
      </c>
      <c r="B11" s="7" t="inlineStr">
        <is>
          <t>照明（LED1灯）</t>
        </is>
      </c>
      <c r="C11" s="8" t="inlineStr">
        <is>
          <t>Neewer 二色660 LED</t>
        </is>
      </c>
      <c r="D11" s="9" t="n">
        <v>10949</v>
      </c>
      <c r="E11" s="8" t="inlineStr">
        <is>
          <t>Godox SL-60IID ＋ ソフトボックス</t>
        </is>
      </c>
      <c r="F11" s="10" t="n">
        <v>25000</v>
      </c>
      <c r="G11" s="9">
        <f>F11-D11</f>
        <v/>
      </c>
      <c r="H11" s="8" t="inlineStr">
        <is>
          <t>60Wクラスの単灯になり、③の「黒背景に一灯」で光の芯が出る。ソフトボックスで影の硬さも調整できる。Bowensマウントなので後から拡張できる</t>
        </is>
      </c>
      <c r="I11" s="11" t="inlineStr">
        <is>
          <t>https://item.rakuten.co.jp/phototiroya/268-00/</t>
        </is>
      </c>
    </row>
    <row r="12" ht="52" customHeight="1">
      <c r="A12" s="6" t="inlineStr">
        <is>
          <t>B</t>
        </is>
      </c>
      <c r="B12" s="7" t="inlineStr">
        <is>
          <t>マクロレンズ</t>
        </is>
      </c>
      <c r="C12" s="8" t="inlineStr">
        <is>
          <t>SONY E 30mm F3.5 Macro</t>
        </is>
      </c>
      <c r="D12" s="9" t="n">
        <v>27800</v>
      </c>
      <c r="E12" s="8" t="inlineStr">
        <is>
          <t>SIGMA 70mm F2.8 DG MACRO Art（ソニーE・中古）</t>
        </is>
      </c>
      <c r="F12" s="10" t="n">
        <v>52000</v>
      </c>
      <c r="G12" s="9">
        <f>F12-D12</f>
        <v/>
      </c>
      <c r="H12" s="8" t="inlineStr">
        <is>
          <t>30mmは被写体に3cmまで寄る必要があり、カメラの影が革に落ちる。70mmなら離れて同じ大きさに撮れるので、コバ塗り・刻印の寄りが破綻しない</t>
        </is>
      </c>
      <c r="I12" s="11" t="inlineStr">
        <is>
          <t>https://kakaku.com/item/K0001065920/</t>
        </is>
      </c>
    </row>
    <row r="13" ht="52" customHeight="1">
      <c r="A13" s="6" t="inlineStr">
        <is>
          <t>B</t>
        </is>
      </c>
      <c r="B13" s="7" t="inlineStr">
        <is>
          <t>ジンバル（追加）</t>
        </is>
      </c>
      <c r="C13" s="8" t="inlineStr">
        <is>
          <t>─（三脚と手持ちで代替）</t>
        </is>
      </c>
      <c r="D13" s="9" t="n">
        <v>0</v>
      </c>
      <c r="E13" s="8" t="inlineStr">
        <is>
          <t>Zhiyun Crane M3</t>
        </is>
      </c>
      <c r="F13" s="10" t="n">
        <v>20710</v>
      </c>
      <c r="G13" s="9">
        <f>F13-D13</f>
        <v/>
      </c>
      <c r="H13" s="8" t="inlineStr">
        <is>
          <t>④の街歩きと⑥の「工房を歩くカメラ」が安定する。手持ちの揺れを演出として残す方針なら、なくても成立する</t>
        </is>
      </c>
      <c r="I13" s="11" t="inlineStr">
        <is>
          <t>https://www.amazon.co.jp/dp/B09J4GXV63</t>
        </is>
      </c>
    </row>
    <row r="14" ht="52" customHeight="1">
      <c r="A14" s="12" t="inlineStr">
        <is>
          <t>—</t>
        </is>
      </c>
      <c r="B14" s="7" t="inlineStr">
        <is>
          <t>音声レコーダー</t>
        </is>
      </c>
      <c r="C14" s="8" t="inlineStr">
        <is>
          <t>ZOOM H1essential</t>
        </is>
      </c>
      <c r="D14" s="9" t="n">
        <v>12626</v>
      </c>
      <c r="E14" s="8" t="inlineStr">
        <is>
          <t>同じもので十分</t>
        </is>
      </c>
      <c r="F14" s="10" t="n">
        <v>12626</v>
      </c>
      <c r="G14" s="9">
        <f>F14-D14</f>
        <v/>
      </c>
      <c r="H14" s="8" t="inlineStr">
        <is>
          <t>32bitフロートで音割れしないので、これ以上のグレードは今回の用途では効果が薄い</t>
        </is>
      </c>
      <c r="I14" s="11" t="inlineStr">
        <is>
          <t>https://www.amazon.co.jp/dp/B0CSL4PXDV</t>
        </is>
      </c>
    </row>
    <row r="15" ht="52" customHeight="1">
      <c r="A15" s="12" t="inlineStr">
        <is>
          <t>—</t>
        </is>
      </c>
      <c r="B15" s="7" t="inlineStr">
        <is>
          <t>ガンマイク</t>
        </is>
      </c>
      <c r="C15" s="8" t="inlineStr">
        <is>
          <t>RODE VideoMic GO II</t>
        </is>
      </c>
      <c r="D15" s="9" t="n">
        <v>16364</v>
      </c>
      <c r="E15" s="8" t="inlineStr">
        <is>
          <t>同じもので十分</t>
        </is>
      </c>
      <c r="F15" s="10" t="n">
        <v>16364</v>
      </c>
      <c r="G15" s="9">
        <f>F15-D15</f>
        <v/>
      </c>
      <c r="H15" s="8" t="inlineStr">
        <is>
          <t>作業音（刃・ミシン・コバ磨き）を狙うのがこのマイクの役割。声はDJI Mic 2に任せるので据え置き</t>
        </is>
      </c>
      <c r="I15" s="11" t="inlineStr">
        <is>
          <t>https://www.amazon.co.jp/dp/B09MRLGL7G</t>
        </is>
      </c>
    </row>
    <row r="16" ht="52" customHeight="1">
      <c r="A16" s="12" t="inlineStr">
        <is>
          <t>—</t>
        </is>
      </c>
      <c r="B16" s="7" t="inlineStr">
        <is>
          <t>レフ板</t>
        </is>
      </c>
      <c r="C16" s="8" t="inlineStr">
        <is>
          <t>EMART 丸レフ板 60cm 5in1</t>
        </is>
      </c>
      <c r="D16" s="9" t="n">
        <v>1099</v>
      </c>
      <c r="E16" s="8" t="inlineStr">
        <is>
          <t>同じもので十分</t>
        </is>
      </c>
      <c r="F16" s="10" t="n">
        <v>1099</v>
      </c>
      <c r="G16" s="9">
        <f>F16-D16</f>
        <v/>
      </c>
      <c r="H16" s="8" t="inlineStr">
        <is>
          <t>上げても画に差が出ない</t>
        </is>
      </c>
      <c r="I16" s="11" t="inlineStr">
        <is>
          <t>https://www.amazon.co.jp/dp/B0CHNY19K3</t>
        </is>
      </c>
    </row>
    <row r="17" ht="52" customHeight="1">
      <c r="A17" s="12" t="inlineStr">
        <is>
          <t>—</t>
        </is>
      </c>
      <c r="B17" s="7" t="inlineStr">
        <is>
          <t>黒スチレンボード</t>
        </is>
      </c>
      <c r="C17" s="8" t="inlineStr">
        <is>
          <t>A2・5mm厚 ×2枚</t>
        </is>
      </c>
      <c r="D17" s="9" t="n">
        <v>1122</v>
      </c>
      <c r="E17" s="8" t="inlineStr">
        <is>
          <t>同じもので十分</t>
        </is>
      </c>
      <c r="F17" s="10" t="n">
        <v>1122</v>
      </c>
      <c r="G17" s="9">
        <f>F17-D17</f>
        <v/>
      </c>
      <c r="H17" s="8" t="inlineStr">
        <is>
          <t>上げても画に差が出ない</t>
        </is>
      </c>
      <c r="I17" s="11" t="inlineStr">
        <is>
          <t>https://www.signmall.jp/item/10899910261.html</t>
        </is>
      </c>
    </row>
    <row r="18" ht="52" customHeight="1">
      <c r="A18" s="12" t="inlineStr">
        <is>
          <t>—</t>
        </is>
      </c>
      <c r="B18" s="7" t="inlineStr">
        <is>
          <t>アクリル板</t>
        </is>
      </c>
      <c r="C18" s="8" t="inlineStr">
        <is>
          <t>PULUZ 反射板 40cm（黒）</t>
        </is>
      </c>
      <c r="D18" s="9" t="n">
        <v>3000</v>
      </c>
      <c r="E18" s="8" t="inlineStr">
        <is>
          <t>同じもので十分</t>
        </is>
      </c>
      <c r="F18" s="10" t="n">
        <v>3000</v>
      </c>
      <c r="G18" s="9">
        <f>F18-D18</f>
        <v/>
      </c>
      <c r="H18" s="8" t="inlineStr">
        <is>
          <t>上げても画に差が出ない</t>
        </is>
      </c>
      <c r="I18" s="11" t="inlineStr">
        <is>
          <t>https://www.amazon.co.jp/dp/B0C49DT18X</t>
        </is>
      </c>
    </row>
    <row r="19" ht="52" customHeight="1">
      <c r="A19" s="12" t="inlineStr">
        <is>
          <t>—</t>
        </is>
      </c>
      <c r="B19" s="7" t="inlineStr">
        <is>
          <t>SDカード（任意）</t>
        </is>
      </c>
      <c r="C19" s="8" t="inlineStr">
        <is>
          <t>SanDisk Extreme 128GB V30</t>
        </is>
      </c>
      <c r="D19" s="9" t="n">
        <v>2500</v>
      </c>
      <c r="E19" s="8" t="inlineStr">
        <is>
          <t>同じもので十分</t>
        </is>
      </c>
      <c r="F19" s="10" t="n">
        <v>2500</v>
      </c>
      <c r="G19" s="9">
        <f>F19-D19</f>
        <v/>
      </c>
      <c r="H19" s="8" t="inlineStr">
        <is>
          <t>4K動画ならV30で足りる。カメラのカード形式に合わせて選ぶ</t>
        </is>
      </c>
      <c r="I19" s="11" t="inlineStr">
        <is>
          <t>https://www.amazon.co.jp/s?k=SanDisk+Extreme+SD+128GB+V30</t>
        </is>
      </c>
    </row>
    <row r="21">
      <c r="B21" s="13" t="inlineStr">
        <is>
          <t>3つの選択肢</t>
        </is>
      </c>
    </row>
    <row r="22">
      <c r="B22" s="14" t="inlineStr">
        <is>
          <t>選択肢</t>
        </is>
      </c>
      <c r="C22" s="14" t="inlineStr">
        <is>
          <t>内容</t>
        </is>
      </c>
      <c r="D22" s="14" t="inlineStr">
        <is>
          <t>合計</t>
        </is>
      </c>
    </row>
    <row r="23" ht="26" customHeight="1">
      <c r="B23" s="15" t="inlineStr">
        <is>
          <t>① 最小構成</t>
        </is>
      </c>
      <c r="C23" s="16" t="inlineStr">
        <is>
          <t>01のファイルと同じ。まず撮り切ることを優先する</t>
        </is>
      </c>
      <c r="D23" s="17">
        <f>SUM(D9:D19)</f>
        <v/>
      </c>
    </row>
    <row r="24" ht="26" customHeight="1">
      <c r="B24" s="18" t="inlineStr">
        <is>
          <t>② 音と支えだけ上げる</t>
        </is>
      </c>
      <c r="C24" s="16" t="inlineStr">
        <is>
          <t>優先度Aの2つ（DJI Mic 2・フルード雲台の三脚）を足す。いちばん効く</t>
        </is>
      </c>
      <c r="D24" s="19">
        <f>SUM(D9:D19)+G9+G10</f>
        <v/>
      </c>
    </row>
    <row r="25" ht="26" customHeight="1">
      <c r="B25" s="15" t="inlineStr">
        <is>
          <t>③ ぜんぶ上げる</t>
        </is>
      </c>
      <c r="C25" s="16" t="inlineStr">
        <is>
          <t>A・Bすべて。照明・マクロ・ジンバルまで</t>
        </is>
      </c>
      <c r="D25" s="17">
        <f>SUM(D9:D19)+G9+G10+G11+G12+G13</f>
        <v/>
      </c>
    </row>
    <row r="28">
      <c r="A28" s="20" t="inlineStr">
        <is>
          <t>価格について</t>
        </is>
      </c>
    </row>
    <row r="29">
      <c r="A29" s="1" t="inlineStr">
        <is>
          <t>・DJI Mic 2（送信機2＋受信機＋充電ケース）＝ Amazon実売34,339円（セール時はさらに下がります）。</t>
        </is>
      </c>
    </row>
    <row r="30">
      <c r="A30" s="1" t="inlineStr">
        <is>
          <t>・Manfrotto Befree live アルミニウムT三脚 ビデオ雲台キット（MVKBFRT-LIVE）＝ 銀一 30,800円／System5 33,048円／エディオン 40,800円。表では30,800円を採用。</t>
        </is>
      </c>
    </row>
    <row r="31">
      <c r="A31" s="1" t="inlineStr">
        <is>
          <t>・Godox SL-60IID ＋ ソフトボックス ＝ 約25,000円（セット構成により変動するため概算）。</t>
        </is>
      </c>
    </row>
    <row r="32">
      <c r="A32" s="1" t="inlineStr">
        <is>
          <t>・SIGMA 70mm F2.8 DG MACRO Art（ソニーE用）＝ 中古 50,100〜53,700円。新品は在庫が少なく、価格.comに新品価格の登録がありません。</t>
        </is>
      </c>
    </row>
    <row r="33">
      <c r="A33" s="1" t="inlineStr">
        <is>
          <t xml:space="preserve">　純正の SONY FE 90mm F2.8 Macro G OSS は約130,000円前後（海外実売 $799〜）で、今回はさすがに過剰と判断しました。</t>
        </is>
      </c>
    </row>
    <row r="34">
      <c r="A34" s="1" t="inlineStr"/>
    </row>
    <row r="35">
      <c r="A35" s="20" t="inlineStr">
        <is>
          <t>注意</t>
        </is>
      </c>
    </row>
    <row r="36">
      <c r="A36" s="1" t="inlineStr">
        <is>
          <t>・マクロレンズはソニーEマウント用です。お使いのカメラが別マウントの場合は、同じ焦点距離帯（70〜100mm）のマクロレンズに読み替えてください。</t>
        </is>
      </c>
    </row>
    <row r="37">
      <c r="A37" s="1" t="inlineStr">
        <is>
          <t>・中古を含む価格です。中古を避ける場合はマクロレンズの金額が上がります。</t>
        </is>
      </c>
    </row>
    <row r="38">
      <c r="A38" s="1" t="inlineStr">
        <is>
          <t>・カメラ本体はお手持ちのものを使う前提のため、この表には入っていません。</t>
        </is>
      </c>
    </row>
    <row r="39">
      <c r="A39" s="1" t="inlineStr">
        <is>
          <t>・「いまの価格」のうち、三脚（約3,000円）とレフ板（1,099円）は今回の再確認で実売価格を確定できませんでした。購入時にご確認ください。</t>
        </is>
      </c>
    </row>
    <row r="40">
      <c r="A40" s="1" t="inlineStr"/>
    </row>
    <row r="41">
      <c r="A41" s="1" t="inlineStr">
        <is>
          <t>最小構成（カメラを除く合計 約78,500円）は別ファイル「01_撮影機材と費用.xlsx」にあります。</t>
        </is>
      </c>
    </row>
  </sheetData>
  <hyperlinks>
    <hyperlink xmlns:r="http://schemas.openxmlformats.org/officeDocument/2006/relationships" ref="I9" r:id="rId1"/>
    <hyperlink xmlns:r="http://schemas.openxmlformats.org/officeDocument/2006/relationships" ref="I10" r:id="rId2"/>
    <hyperlink xmlns:r="http://schemas.openxmlformats.org/officeDocument/2006/relationships" ref="I11" r:id="rId3"/>
    <hyperlink xmlns:r="http://schemas.openxmlformats.org/officeDocument/2006/relationships" ref="I12" r:id="rId4"/>
    <hyperlink xmlns:r="http://schemas.openxmlformats.org/officeDocument/2006/relationships" ref="I13" r:id="rId5"/>
    <hyperlink xmlns:r="http://schemas.openxmlformats.org/officeDocument/2006/relationships" ref="I14" r:id="rId6"/>
    <hyperlink xmlns:r="http://schemas.openxmlformats.org/officeDocument/2006/relationships" ref="I15" r:id="rId7"/>
    <hyperlink xmlns:r="http://schemas.openxmlformats.org/officeDocument/2006/relationships" ref="I16" r:id="rId8"/>
    <hyperlink xmlns:r="http://schemas.openxmlformats.org/officeDocument/2006/relationships" ref="I17" r:id="rId9"/>
    <hyperlink xmlns:r="http://schemas.openxmlformats.org/officeDocument/2006/relationships" ref="I18" r:id="rId10"/>
    <hyperlink xmlns:r="http://schemas.openxmlformats.org/officeDocument/2006/relationships" ref="I19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2026-09-04T14:38:19Z</dcterms:created>
  <dcterms:modified xmlns:dcterms="http://purl.org/dc/terms/" xmlns:xsi="http://www.w3.org/2001/XMLSchema-instance" xsi:type="dcterms:W3CDTF">2026-09-04T14:38:19Z</dcterms:modified>
</cp:coreProperties>
</file>