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材と費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3">
    <font>
      <name val="Calibri"/>
      <family val="2"/>
      <color theme="1"/>
      <sz val="11"/>
      <scheme val="minor"/>
    </font>
    <font>
      <name val="Meiryo"/>
      <color rgb="005B6266"/>
      <sz val="9"/>
    </font>
    <font>
      <name val="Meiryo"/>
      <b val="1"/>
      <color rgb="001A1A1A"/>
      <sz val="18"/>
    </font>
    <font>
      <name val="Meiryo"/>
      <color rgb="005B6266"/>
      <sz val="10"/>
    </font>
    <font>
      <name val="Meiryo"/>
      <b val="1"/>
      <color rgb="00A8672A"/>
      <sz val="9"/>
    </font>
    <font>
      <name val="Meiryo"/>
      <b val="1"/>
      <color rgb="005B6266"/>
      <sz val="9"/>
    </font>
    <font>
      <name val="Meiryo"/>
      <color rgb="001A1A1A"/>
      <sz val="10"/>
    </font>
    <font>
      <name val="Meiryo"/>
      <color rgb="000563C1"/>
      <sz val="9"/>
      <u val="single"/>
    </font>
    <font>
      <name val="Meiryo"/>
      <b val="1"/>
      <color rgb="001A1A1A"/>
      <sz val="11"/>
    </font>
    <font>
      <name val="Meiryo"/>
      <b val="1"/>
      <color rgb="001A1A1A"/>
      <sz val="12"/>
    </font>
    <font>
      <name val="Meiryo"/>
      <color rgb="006D4238"/>
      <sz val="10"/>
    </font>
    <font>
      <name val="Meiryo"/>
      <b val="1"/>
      <color rgb="006D4238"/>
      <sz val="10"/>
    </font>
    <font>
      <name val="Meiryo"/>
      <b val="1"/>
      <color rgb="001A1A1A"/>
      <sz val="9"/>
    </font>
  </fonts>
  <fills count="5">
    <fill>
      <patternFill/>
    </fill>
    <fill>
      <patternFill patternType="gray125"/>
    </fill>
    <fill>
      <patternFill patternType="solid">
        <fgColor rgb="00E4E7E7"/>
      </patternFill>
    </fill>
    <fill>
      <patternFill patternType="solid">
        <fgColor rgb="00FFF6D9"/>
      </patternFill>
    </fill>
    <fill>
      <patternFill patternType="solid">
        <fgColor rgb="00F2E2DE"/>
      </patternFill>
    </fill>
  </fills>
  <borders count="2">
    <border>
      <left/>
      <right/>
      <top/>
      <bottom/>
      <diagonal/>
    </border>
    <border>
      <left style="thin">
        <color rgb="00D6DADB"/>
      </left>
      <right style="thin">
        <color rgb="00D6DADB"/>
      </right>
      <top style="thin">
        <color rgb="00D6DADB"/>
      </top>
      <bottom style="thin">
        <color rgb="00D6DA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4" fontId="6" fillId="3" borderId="1" applyAlignment="1" pivotButton="0" quotePrefix="0" xfId="0">
      <alignment horizontal="right" vertical="top"/>
    </xf>
    <xf numFmtId="0" fontId="7" fillId="0" borderId="1" applyAlignment="1" pivotButton="0" quotePrefix="0" xfId="0">
      <alignment vertical="top" wrapText="1"/>
    </xf>
    <xf numFmtId="0" fontId="8" fillId="0" borderId="1" pivotButton="0" quotePrefix="0" xfId="0"/>
    <xf numFmtId="0" fontId="0" fillId="0" borderId="1" pivotButton="0" quotePrefix="0" xfId="0"/>
    <xf numFmtId="164" fontId="9" fillId="0" borderId="1" applyAlignment="1" pivotButton="0" quotePrefix="0" xfId="0">
      <alignment horizontal="right"/>
    </xf>
    <xf numFmtId="0" fontId="1" fillId="0" borderId="1" pivotButton="0" quotePrefix="0" xfId="0"/>
    <xf numFmtId="3" fontId="6" fillId="0" borderId="0" applyAlignment="1" pivotButton="0" quotePrefix="0" xfId="0">
      <alignment horizontal="right"/>
    </xf>
    <xf numFmtId="0" fontId="9" fillId="0" borderId="0" pivotButton="0" quotePrefix="0" xfId="0"/>
    <xf numFmtId="0" fontId="10" fillId="4" borderId="1" applyAlignment="1" pivotButton="0" quotePrefix="0" xfId="0">
      <alignment vertical="top"/>
    </xf>
    <xf numFmtId="0" fontId="10" fillId="4" borderId="1" applyAlignment="1" pivotButton="0" quotePrefix="0" xfId="0">
      <alignment vertical="top" wrapText="1"/>
    </xf>
    <xf numFmtId="3" fontId="10" fillId="4" borderId="1" applyAlignment="1" pivotButton="0" quotePrefix="0" xfId="0">
      <alignment horizontal="right" vertical="top"/>
    </xf>
    <xf numFmtId="0" fontId="11" fillId="0" borderId="0" pivotButton="0" quotePrefix="0" xfId="0"/>
    <xf numFmtId="3" fontId="11" fillId="0" borderId="0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jp/dp/B09BC33J91" TargetMode="External" Id="rId1"/><Relationship Type="http://schemas.openxmlformats.org/officeDocument/2006/relationships/hyperlink" Target="https://www.amazon.co.jp/dp/B0055MFTHM" TargetMode="External" Id="rId2"/><Relationship Type="http://schemas.openxmlformats.org/officeDocument/2006/relationships/hyperlink" Target="https://www.amazon.co.jp/dp/B0053CEPQU" TargetMode="External" Id="rId3"/><Relationship Type="http://schemas.openxmlformats.org/officeDocument/2006/relationships/hyperlink" Target="https://www.amazon.co.jp/s?k=ZOOM+H1essential" TargetMode="External" Id="rId4"/><Relationship Type="http://schemas.openxmlformats.org/officeDocument/2006/relationships/hyperlink" Target="https://www.amazon.co.jp/dp/B0D3QSNXW9" TargetMode="External" Id="rId5"/><Relationship Type="http://schemas.openxmlformats.org/officeDocument/2006/relationships/hyperlink" Target="https://www.amazon.co.jp/dp/B077Z61TPN" TargetMode="External" Id="rId6"/><Relationship Type="http://schemas.openxmlformats.org/officeDocument/2006/relationships/hyperlink" Target="https://www.amazon.co.jp/dp/B0CHNY19K3" TargetMode="External" Id="rId7"/><Relationship Type="http://schemas.openxmlformats.org/officeDocument/2006/relationships/hyperlink" Target="https://www.signmall.jp/item/10899910261.html" TargetMode="External" Id="rId8"/><Relationship Type="http://schemas.openxmlformats.org/officeDocument/2006/relationships/hyperlink" Target="https://www.amazon.co.jp/dp/B0C49DT18X" TargetMode="External" Id="rId9"/><Relationship Type="http://schemas.openxmlformats.org/officeDocument/2006/relationships/hyperlink" Target="https://www.amazon.co.jp/s?k=SanDisk+Extreme+SD+128GB+V3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52" customWidth="1" min="4" max="4"/>
    <col width="34" customWidth="1" min="5" max="5"/>
    <col width="30" customWidth="1" min="6" max="6"/>
  </cols>
  <sheetData>
    <row r="1">
      <c r="A1" s="1" t="inlineStr">
        <is>
          <t>BROOKLYN MUSEUM ／ 向島工房　動画制作</t>
        </is>
      </c>
    </row>
    <row r="2">
      <c r="A2" s="2" t="inlineStr">
        <is>
          <t>撮影機材と費用</t>
        </is>
      </c>
    </row>
    <row r="3">
      <c r="A3" s="3" t="inlineStr">
        <is>
          <t>動画8本を1人で撮影する前提。機材は現在なにも所有していないため、ゼロから揃える場合の金額です。</t>
        </is>
      </c>
    </row>
    <row r="5">
      <c r="A5" s="4" t="inlineStr">
        <is>
          <t>編集のしかた</t>
        </is>
      </c>
    </row>
    <row r="6">
      <c r="A6" s="1" t="inlineStr">
        <is>
          <t>薄い黄色のセル（価格）を書き換えると、合計が自動で計算し直されます。行を足す場合は合計行のすぐ上に挿入してください。</t>
        </is>
      </c>
    </row>
    <row r="8" ht="24" customHeight="1">
      <c r="A8" s="5" t="inlineStr">
        <is>
          <t>品目</t>
        </is>
      </c>
      <c r="B8" s="5" t="inlineStr">
        <is>
          <t>商品</t>
        </is>
      </c>
      <c r="C8" s="5" t="inlineStr">
        <is>
          <t>価格（円）</t>
        </is>
      </c>
      <c r="D8" s="5" t="inlineStr">
        <is>
          <t>なぜ必要か</t>
        </is>
      </c>
      <c r="E8" s="5" t="inlineStr">
        <is>
          <t>評価・出どころ</t>
        </is>
      </c>
      <c r="F8" s="5" t="inlineStr">
        <is>
          <t>商品ページ</t>
        </is>
      </c>
    </row>
    <row r="9" ht="42" customHeight="1">
      <c r="A9" s="6" t="inlineStr">
        <is>
          <t>カメラ本体</t>
        </is>
      </c>
      <c r="B9" s="7" t="inlineStr">
        <is>
          <t>SONY ZV-E10 標準ズームレンズキット</t>
        </is>
      </c>
      <c r="C9" s="8" t="n">
        <v>82800</v>
      </c>
      <c r="D9" s="7" t="inlineStr">
        <is>
          <t>8本すべての撮影本体。瞳AF・4K・外部マイク端子つき。動画向けの現行機では実売最安クラス</t>
        </is>
      </c>
      <c r="E9" s="7" t="inlineStr">
        <is>
          <t>ソニー公式・国内正規品</t>
        </is>
      </c>
      <c r="F9" s="9" t="inlineStr">
        <is>
          <t>https://www.amazon.co.jp/dp/B09BC33J91</t>
        </is>
      </c>
    </row>
    <row r="10" ht="42" customHeight="1">
      <c r="A10" s="6" t="inlineStr">
        <is>
          <t>スマホ</t>
        </is>
      </c>
      <c r="B10" s="7" t="inlineStr">
        <is>
          <t>手持ちのものを使用</t>
        </is>
      </c>
      <c r="C10" s="8" t="n">
        <v>0</v>
      </c>
      <c r="D10" s="7" t="inlineStr">
        <is>
          <t>2台目のカメラとして別アングルの押さえ、作業音の別録りに使用</t>
        </is>
      </c>
      <c r="E10" s="7" t="inlineStr">
        <is>
          <t>購入不要</t>
        </is>
      </c>
      <c r="F10" s="7" t="inlineStr"/>
    </row>
    <row r="11" ht="42" customHeight="1">
      <c r="A11" s="6" t="inlineStr">
        <is>
          <t>マクロレンズ</t>
        </is>
      </c>
      <c r="B11" s="7" t="inlineStr">
        <is>
          <t>SONY E 30mm F3.5 Macro（SEL30M35）</t>
        </is>
      </c>
      <c r="C11" s="8" t="n">
        <v>27800</v>
      </c>
      <c r="D11" s="7" t="inlineStr">
        <is>
          <t>刃が革に入る瞬間・コバ塗り・刻印の寄り。②③⑤の核になるカットはこのレンズがないと撮れない</t>
        </is>
      </c>
      <c r="E11" s="7" t="inlineStr">
        <is>
          <t>ソニー純正・等倍マクロ</t>
        </is>
      </c>
      <c r="F11" s="9" t="inlineStr">
        <is>
          <t>https://www.amazon.co.jp/dp/B0055MFTHM</t>
        </is>
      </c>
    </row>
    <row r="12" ht="42" customHeight="1">
      <c r="A12" s="6" t="inlineStr">
        <is>
          <t>三脚（雲台付き）</t>
        </is>
      </c>
      <c r="B12" s="7" t="inlineStr">
        <is>
          <t>Velbon EX-440</t>
        </is>
      </c>
      <c r="C12" s="8" t="n">
        <v>3012</v>
      </c>
      <c r="D12" s="7" t="inlineStr">
        <is>
          <t>③⑦の固定撮影と、①⑤⑥の真俯瞰。1人で撮るのでカメラを置ける三脚は必須</t>
        </is>
      </c>
      <c r="E12" s="7" t="inlineStr">
        <is>
          <t>国内カメラ用品の老舗メーカー・入門定番</t>
        </is>
      </c>
      <c r="F12" s="9" t="inlineStr">
        <is>
          <t>https://www.amazon.co.jp/dp/B0053CEPQU</t>
        </is>
      </c>
    </row>
    <row r="13" ht="42" customHeight="1">
      <c r="A13" s="6" t="inlineStr">
        <is>
          <t>音声レコーダー</t>
        </is>
      </c>
      <c r="B13" s="7" t="inlineStr">
        <is>
          <t>ZOOM H1essential</t>
        </is>
      </c>
      <c r="C13" s="8" t="n">
        <v>12626</v>
      </c>
      <c r="D13" s="7" t="inlineStr">
        <is>
          <t>永尾社長・佐藤さん・くさがやさん・購入者の4人分のインタビュー音声。⑤は社長の声だけで全編が進むため最重要</t>
        </is>
      </c>
      <c r="E13" s="7" t="inlineStr">
        <is>
          <t>ZOOM公式・評価4.5／5（32件）・32bitフロートで音割れしない</t>
        </is>
      </c>
      <c r="F13" s="9" t="inlineStr">
        <is>
          <t>https://www.amazon.co.jp/s?k=ZOOM+H1essential</t>
        </is>
      </c>
    </row>
    <row r="14" ht="42" customHeight="1">
      <c r="A14" s="6" t="inlineStr">
        <is>
          <t>ガンマイク</t>
        </is>
      </c>
      <c r="B14" s="7" t="inlineStr">
        <is>
          <t>RODE VideoMic GO II</t>
        </is>
      </c>
      <c r="C14" s="8" t="n">
        <v>16364</v>
      </c>
      <c r="D14" s="7" t="inlineStr">
        <is>
          <t>カメラに載せる指向性マイク。工房の環境音の中から刃の音・ミシンの音・コバを磨く音だけを拾う。電池不要</t>
        </is>
      </c>
      <c r="E14" s="7" t="inlineStr">
        <is>
          <t>RODE公式・入門ガンマイクの定番機</t>
        </is>
      </c>
      <c r="F14" s="9" t="inlineStr">
        <is>
          <t>https://www.amazon.co.jp/dp/B0D3QSNXW9</t>
        </is>
      </c>
    </row>
    <row r="15" ht="42" customHeight="1">
      <c r="A15" s="6" t="inlineStr">
        <is>
          <t>照明（LED1灯）</t>
        </is>
      </c>
      <c r="B15" s="7" t="inlineStr">
        <is>
          <t>Neewer 二色660 LEDビデオライト</t>
        </is>
      </c>
      <c r="C15" s="8" t="n">
        <v>10949</v>
      </c>
      <c r="D15" s="7" t="inlineStr">
        <is>
          <t>③「黒い布一枚とライト一灯」の要。工房の蛍光灯を全部消して撮るので、この1灯が画をつくる</t>
        </is>
      </c>
      <c r="E15" s="7" t="inlineStr">
        <is>
          <t>Neewer公式・レビュー多数の定番モデル</t>
        </is>
      </c>
      <c r="F15" s="9" t="inlineStr">
        <is>
          <t>https://www.amazon.co.jp/dp/B077Z61TPN</t>
        </is>
      </c>
    </row>
    <row r="16" ht="42" customHeight="1">
      <c r="A16" s="6" t="inlineStr">
        <is>
          <t>レフ板</t>
        </is>
      </c>
      <c r="B16" s="7" t="inlineStr">
        <is>
          <t>5in1レフ板／ディフューザー 60cm</t>
        </is>
      </c>
      <c r="C16" s="8" t="n">
        <v>1099</v>
      </c>
      <c r="D16" s="7" t="inlineStr">
        <is>
          <t>1灯だけだと影が硬くなるので反対側から起こす。屋外（①④）でも手元に光を回せる</t>
        </is>
      </c>
      <c r="E16" s="7" t="inlineStr">
        <is>
          <t>レビュー件数の多い定番品</t>
        </is>
      </c>
      <c r="F16" s="9" t="inlineStr">
        <is>
          <t>https://www.amazon.co.jp/dp/B0CHNY19K3</t>
        </is>
      </c>
    </row>
    <row r="17" ht="42" customHeight="1">
      <c r="A17" s="6" t="inlineStr">
        <is>
          <t>黒スチレンボード</t>
        </is>
      </c>
      <c r="B17" s="7" t="inlineStr">
        <is>
          <t>ブラックスチレンボード A2・5mm厚 ×2枚</t>
        </is>
      </c>
      <c r="C17" s="8" t="n">
        <v>1122</v>
      </c>
      <c r="D17" s="7" t="inlineStr">
        <is>
          <t>③の黒背景と、余計な光を止める遮光板。布より角が立つので黒の中に製品だけを浮かせられる</t>
        </is>
      </c>
      <c r="E17" s="7" t="inlineStr">
        <is>
          <t>看板・POP資材の定番（1枚561円）</t>
        </is>
      </c>
      <c r="F17" s="9" t="inlineStr">
        <is>
          <t>https://www.signmall.jp/item/10899910261.html</t>
        </is>
      </c>
    </row>
    <row r="18" ht="42" customHeight="1">
      <c r="A18" s="6" t="inlineStr">
        <is>
          <t>アクリル板</t>
        </is>
      </c>
      <c r="B18" s="7" t="inlineStr">
        <is>
          <t>PULUZ アクリル反射板 40cm（黒）</t>
        </is>
      </c>
      <c r="C18" s="8" t="n">
        <v>3000</v>
      </c>
      <c r="D18" s="7" t="inlineStr">
        <is>
          <t>製品を映り込ませる台。③の完成品カットと⑦の白台に、鏡面のリフレクションが1枚入る</t>
        </is>
      </c>
      <c r="E18" s="7" t="inlineStr">
        <is>
          <t>PULUZ公式ショップ／価格は購入時に要確認</t>
        </is>
      </c>
      <c r="F18" s="9" t="inlineStr">
        <is>
          <t>https://www.amazon.co.jp/dp/B0C49DT18X</t>
        </is>
      </c>
    </row>
    <row r="19" ht="42" customHeight="1">
      <c r="A19" s="6" t="inlineStr">
        <is>
          <t>SDカード</t>
        </is>
      </c>
      <c r="B19" s="7" t="inlineStr">
        <is>
          <t>SanDisk Extreme 128GB（V30）</t>
        </is>
      </c>
      <c r="C19" s="8" t="n">
        <v>2500</v>
      </c>
      <c r="D19" s="7" t="inlineStr">
        <is>
          <t>カメラに1枚も入っていないと撮影自体ができない。4K動画なので書き込み速度はV30以上</t>
        </is>
      </c>
      <c r="E19" s="7" t="inlineStr">
        <is>
          <t>サンディスク正規品／価格は購入時に要確認</t>
        </is>
      </c>
      <c r="F19" s="9" t="inlineStr">
        <is>
          <t>https://www.amazon.co.jp/s?k=SanDisk+Extreme+SD+128GB+V30</t>
        </is>
      </c>
    </row>
    <row r="20">
      <c r="A20" s="10" t="inlineStr">
        <is>
          <t>合計</t>
        </is>
      </c>
      <c r="B20" s="11" t="n"/>
      <c r="C20" s="12">
        <f>SUM(C9:C19)</f>
        <v/>
      </c>
      <c r="D20" s="13" t="inlineStr">
        <is>
          <t>アクリル板とSDカードは概算です。発注時に確定します。</t>
        </is>
      </c>
      <c r="E20" s="11" t="n"/>
      <c r="F20" s="11" t="n"/>
    </row>
    <row r="23">
      <c r="A23" s="3" t="inlineStr">
        <is>
          <t>うちカメラ本体</t>
        </is>
      </c>
      <c r="C23" s="14">
        <f>C9</f>
        <v/>
      </c>
    </row>
    <row r="24">
      <c r="A24" s="3" t="inlineStr">
        <is>
          <t>カメラを除いた小計</t>
        </is>
      </c>
      <c r="C24" s="14">
        <f>C20-C9</f>
        <v/>
      </c>
      <c r="D24" s="1" t="inlineStr">
        <is>
          <t>カメラを社内から借りられる場合はこの金額</t>
        </is>
      </c>
    </row>
    <row r="27">
      <c r="A27" s="15" t="inlineStr">
        <is>
          <t>今回は買わないもの</t>
        </is>
      </c>
    </row>
    <row r="28" ht="24" customHeight="1">
      <c r="A28" s="5" t="inlineStr">
        <is>
          <t>品目</t>
        </is>
      </c>
      <c r="B28" s="5" t="inlineStr">
        <is>
          <t>商品</t>
        </is>
      </c>
      <c r="C28" s="5" t="inlineStr">
        <is>
          <t>価格（円）</t>
        </is>
      </c>
      <c r="D28" s="5" t="inlineStr">
        <is>
          <t>外した理由</t>
        </is>
      </c>
      <c r="E28" s="5" t="inlineStr"/>
      <c r="F28" s="5" t="inlineStr"/>
    </row>
    <row r="29" ht="34" customHeight="1">
      <c r="A29" s="16" t="inlineStr">
        <is>
          <t>ジンバル</t>
        </is>
      </c>
      <c r="B29" s="17" t="inlineStr">
        <is>
          <t>Zhiyun Crane M3</t>
        </is>
      </c>
      <c r="C29" s="18" t="n">
        <v>20710</v>
      </c>
      <c r="D29" s="17" t="inlineStr">
        <is>
          <t>④の街歩きと⑥の工房を歩くカットの手ブレを抑える機材。三脚と手持ちでも撮影は成立するため、必要性を感じてからで良い</t>
        </is>
      </c>
    </row>
    <row r="30" ht="34" customHeight="1">
      <c r="A30" s="16" t="inlineStr">
        <is>
          <t>予備バッテリー</t>
        </is>
      </c>
      <c r="B30" s="17" t="inlineStr">
        <is>
          <t>NP-FW50 互換2個＋充電器セット</t>
        </is>
      </c>
      <c r="C30" s="18" t="n">
        <v>3300</v>
      </c>
      <c r="D30" s="17" t="inlineStr">
        <is>
          <t>1日で撮り切らず日を分ければ、本体付属の1個で回せる</t>
        </is>
      </c>
    </row>
    <row r="31">
      <c r="A31" s="19" t="inlineStr">
        <is>
          <t>削減額</t>
        </is>
      </c>
      <c r="C31" s="20">
        <f>SUM(C29:C30)</f>
        <v/>
      </c>
    </row>
    <row r="34">
      <c r="A34" s="21" t="inlineStr">
        <is>
          <t>評価とサクラチェックについて</t>
        </is>
      </c>
    </row>
    <row r="35">
      <c r="A35" s="1" t="inlineStr">
        <is>
          <t>・カメラとレンズはソニー純正、音声はZOOMとRODEという実績あるメーカーの公式販売ページから選びました。</t>
        </is>
      </c>
    </row>
    <row r="36">
      <c r="A36" s="1" t="inlineStr">
        <is>
          <t>・無名ブランドの安価な製品はレビューが操作されている可能性があるため、音声機材からは外しています</t>
        </is>
      </c>
    </row>
    <row r="37">
      <c r="A37" s="1" t="inlineStr">
        <is>
          <t xml:space="preserve">　（前回案のワイヤレスピンマイク13,999円もこれに該当するため差し替えました）。</t>
        </is>
      </c>
    </row>
    <row r="38">
      <c r="A38" s="1" t="inlineStr">
        <is>
          <t>・この資料の作成環境からは sakura-checker.jp に直接アクセスできず、自動でサクラ度を判定できませんでした。</t>
        </is>
      </c>
    </row>
    <row r="39">
      <c r="A39" s="1" t="inlineStr">
        <is>
          <t xml:space="preserve">　メーカー公式ページであること、レビュー件数と評価を根拠にしています。</t>
        </is>
      </c>
    </row>
    <row r="40">
      <c r="A40" s="1" t="inlineStr">
        <is>
          <t>・発注前に、商品ページのURLをサクラチェッカーに貼り付けてご自身でもご確認ください（数秒で判定が出ます）。</t>
        </is>
      </c>
    </row>
    <row r="41">
      <c r="A41" s="1" t="inlineStr"/>
    </row>
    <row r="42">
      <c r="A42" s="1" t="inlineStr">
        <is>
          <t>将来の余地：カメラ本体をSONY ZV-E10 II（約140,000円）に替えると合計は約219,000円。暗い工房での画質に差が出ます。</t>
        </is>
      </c>
    </row>
    <row r="43">
      <c r="A43" s="1" t="inlineStr">
        <is>
          <t>撮影するカットの一覧は別ファイル「02_場面別ショットリスト.xlsx」にあります。</t>
        </is>
      </c>
    </row>
    <row r="44">
      <c r="A44" s="1" t="inlineStr">
        <is>
          <t>価格は2026年9月時点の実売価格です。</t>
        </is>
      </c>
    </row>
  </sheetData>
  <hyperlinks>
    <hyperlink xmlns:r="http://schemas.openxmlformats.org/officeDocument/2006/relationships" ref="F9" r:id="rId1"/>
    <hyperlink xmlns:r="http://schemas.openxmlformats.org/officeDocument/2006/relationships" ref="F11" r:id="rId2"/>
    <hyperlink xmlns:r="http://schemas.openxmlformats.org/officeDocument/2006/relationships" ref="F12" r:id="rId3"/>
    <hyperlink xmlns:r="http://schemas.openxmlformats.org/officeDocument/2006/relationships" ref="F13" r:id="rId4"/>
    <hyperlink xmlns:r="http://schemas.openxmlformats.org/officeDocument/2006/relationships" ref="F14" r:id="rId5"/>
    <hyperlink xmlns:r="http://schemas.openxmlformats.org/officeDocument/2006/relationships" ref="F15" r:id="rId6"/>
    <hyperlink xmlns:r="http://schemas.openxmlformats.org/officeDocument/2006/relationships" ref="F16" r:id="rId7"/>
    <hyperlink xmlns:r="http://schemas.openxmlformats.org/officeDocument/2006/relationships" ref="F17" r:id="rId8"/>
    <hyperlink xmlns:r="http://schemas.openxmlformats.org/officeDocument/2006/relationships" ref="F18" r:id="rId9"/>
    <hyperlink xmlns:r="http://schemas.openxmlformats.org/officeDocument/2006/relationships" ref="F19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2026-09-04T09:15:33Z</dcterms:created>
  <dcterms:modified xmlns:dcterms="http://purl.org/dc/terms/" xmlns:xsi="http://www.w3.org/2001/XMLSchema-instance" xsi:type="dcterms:W3CDTF">2026-09-04T09:15:33Z</dcterms:modified>
</cp:coreProperties>
</file>