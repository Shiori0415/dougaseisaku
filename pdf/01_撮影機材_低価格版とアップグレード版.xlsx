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材と費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13">
    <font>
      <name val="Calibri"/>
      <family val="2"/>
      <color theme="1"/>
      <sz val="11"/>
      <scheme val="minor"/>
    </font>
    <font>
      <name val="Meiryo"/>
      <color rgb="005B6266"/>
      <sz val="9"/>
    </font>
    <font>
      <name val="Meiryo"/>
      <b val="1"/>
      <color rgb="001A1A1A"/>
      <sz val="18"/>
    </font>
    <font>
      <name val="Meiryo"/>
      <color rgb="005B6266"/>
      <sz val="10"/>
    </font>
    <font>
      <name val="Meiryo"/>
      <b val="1"/>
      <color rgb="009A3B2E"/>
      <sz val="10"/>
    </font>
    <font>
      <name val="Meiryo"/>
      <b val="1"/>
      <color rgb="005B6266"/>
      <sz val="9"/>
    </font>
    <font>
      <name val="Meiryo"/>
      <color rgb="001A1A1A"/>
      <sz val="10"/>
    </font>
    <font>
      <name val="Meiryo"/>
      <b val="1"/>
      <color rgb="001A1A1A"/>
      <sz val="10"/>
    </font>
    <font>
      <name val="Meiryo"/>
      <color rgb="000563C1"/>
      <sz val="9"/>
      <u val="single"/>
    </font>
    <font>
      <name val="Meiryo"/>
      <b val="1"/>
      <color rgb="001A1A1A"/>
      <sz val="12"/>
    </font>
    <font>
      <name val="Meiryo"/>
      <b val="1"/>
      <color rgb="001A1A1A"/>
      <sz val="11"/>
    </font>
    <font>
      <name val="Meiryo"/>
      <b val="1"/>
      <color rgb="009A3B2E"/>
      <sz val="11"/>
    </font>
    <font>
      <name val="Meiryo"/>
      <b val="1"/>
      <color rgb="00A8672A"/>
      <sz val="11"/>
    </font>
  </fonts>
  <fills count="6">
    <fill>
      <patternFill/>
    </fill>
    <fill>
      <patternFill patternType="gray125"/>
    </fill>
    <fill>
      <patternFill patternType="solid">
        <fgColor rgb="00E4E7E7"/>
      </patternFill>
    </fill>
    <fill>
      <patternFill patternType="solid">
        <fgColor rgb="00FFF6D9"/>
      </patternFill>
    </fill>
    <fill>
      <patternFill patternType="solid">
        <fgColor rgb="00E7F0EA"/>
      </patternFill>
    </fill>
    <fill>
      <patternFill patternType="solid">
        <fgColor rgb="00F4F5F5"/>
      </patternFill>
    </fill>
  </fills>
  <borders count="2">
    <border>
      <left/>
      <right/>
      <top/>
      <bottom/>
      <diagonal/>
    </border>
    <border>
      <left style="thin">
        <color rgb="00D6DADB"/>
      </left>
      <right style="thin">
        <color rgb="00D6DADB"/>
      </right>
      <top style="thin">
        <color rgb="00D6DADB"/>
      </top>
      <bottom style="thin">
        <color rgb="00D6DA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164" fontId="6" fillId="3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left" vertical="top" wrapText="1"/>
    </xf>
    <xf numFmtId="164" fontId="6" fillId="0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center" vertical="top"/>
    </xf>
    <xf numFmtId="0" fontId="0" fillId="0" borderId="1" pivotButton="0" quotePrefix="0" xfId="0"/>
    <xf numFmtId="0" fontId="9" fillId="0" borderId="1" pivotButton="0" quotePrefix="0" xfId="0"/>
    <xf numFmtId="164" fontId="9" fillId="0" borderId="1" applyAlignment="1" pivotButton="0" quotePrefix="0" xfId="0">
      <alignment horizontal="right"/>
    </xf>
    <xf numFmtId="0" fontId="9" fillId="0" borderId="0" pivotButton="0" quotePrefix="0" xfId="0"/>
    <xf numFmtId="0" fontId="10" fillId="0" borderId="1" pivotButton="0" quotePrefix="0" xfId="0"/>
    <xf numFmtId="3" fontId="9" fillId="0" borderId="1" applyAlignment="1" pivotButton="0" quotePrefix="0" xfId="0">
      <alignment horizontal="right"/>
    </xf>
    <xf numFmtId="0" fontId="1" fillId="0" borderId="1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jp/dp/B0CFZX734J" TargetMode="External" Id="rId1"/><Relationship Type="http://schemas.openxmlformats.org/officeDocument/2006/relationships/hyperlink" Target="https://www.amazon.co.jp/dp/B0053CEPQU" TargetMode="External" Id="rId2"/><Relationship Type="http://schemas.openxmlformats.org/officeDocument/2006/relationships/hyperlink" Target="https://www.ginichi.com/shop/products/detail.php?product_id=118199" TargetMode="External" Id="rId3"/><Relationship Type="http://schemas.openxmlformats.org/officeDocument/2006/relationships/hyperlink" Target="https://www.amazon.co.jp/dp/B0055MFTHM" TargetMode="External" Id="rId4"/><Relationship Type="http://schemas.openxmlformats.org/officeDocument/2006/relationships/hyperlink" Target="https://kakaku.com/item/K0001065920/" TargetMode="External" Id="rId5"/><Relationship Type="http://schemas.openxmlformats.org/officeDocument/2006/relationships/hyperlink" Target="https://www.amazon.co.jp/dp/B077Z61TPN" TargetMode="External" Id="rId6"/><Relationship Type="http://schemas.openxmlformats.org/officeDocument/2006/relationships/hyperlink" Target="https://item.rakuten.co.jp/phototiroya/268-00/" TargetMode="External" Id="rId7"/><Relationship Type="http://schemas.openxmlformats.org/officeDocument/2006/relationships/hyperlink" Target="https://www.amazon.co.jp/dp/B09J4GXV63" TargetMode="External" Id="rId8"/><Relationship Type="http://schemas.openxmlformats.org/officeDocument/2006/relationships/hyperlink" Target="https://www.amazon.co.jp/dp/B0CSL4PXDV" TargetMode="External" Id="rId9"/><Relationship Type="http://schemas.openxmlformats.org/officeDocument/2006/relationships/hyperlink" Target="https://www.amazon.co.jp/dp/B0CSL4PXDV" TargetMode="External" Id="rId10"/><Relationship Type="http://schemas.openxmlformats.org/officeDocument/2006/relationships/hyperlink" Target="https://www.amazon.co.jp/dp/B09MRLGL7G" TargetMode="External" Id="rId11"/><Relationship Type="http://schemas.openxmlformats.org/officeDocument/2006/relationships/hyperlink" Target="https://www.amazon.co.jp/dp/B09MRLGL7G" TargetMode="External" Id="rId12"/><Relationship Type="http://schemas.openxmlformats.org/officeDocument/2006/relationships/hyperlink" Target="https://www.amazon.co.jp/dp/B0CHNY19K3" TargetMode="External" Id="rId13"/><Relationship Type="http://schemas.openxmlformats.org/officeDocument/2006/relationships/hyperlink" Target="https://www.amazon.co.jp/dp/B0CHNY19K3" TargetMode="External" Id="rId14"/><Relationship Type="http://schemas.openxmlformats.org/officeDocument/2006/relationships/hyperlink" Target="https://www.signmall.jp/item/10899910261.html" TargetMode="External" Id="rId15"/><Relationship Type="http://schemas.openxmlformats.org/officeDocument/2006/relationships/hyperlink" Target="https://www.signmall.jp/item/10899910261.html" TargetMode="External" Id="rId16"/><Relationship Type="http://schemas.openxmlformats.org/officeDocument/2006/relationships/hyperlink" Target="https://www.amazon.co.jp/dp/B0C49DT18X" TargetMode="External" Id="rId17"/><Relationship Type="http://schemas.openxmlformats.org/officeDocument/2006/relationships/hyperlink" Target="https://www.amazon.co.jp/dp/B0C49DT18X" TargetMode="External" Id="rId18"/><Relationship Type="http://schemas.openxmlformats.org/officeDocument/2006/relationships/hyperlink" Target="https://www.amazon.co.jp/s?k=SanDisk+Extreme+SD+128GB+V30" TargetMode="External" Id="rId19"/><Relationship Type="http://schemas.openxmlformats.org/officeDocument/2006/relationships/hyperlink" Target="https://www.amazon.co.jp/s?k=SanDisk+Extreme+SD+128GB+V3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34" customWidth="1" min="3" max="3"/>
    <col width="13" customWidth="1" min="4" max="4"/>
    <col width="24" customWidth="1" min="5" max="5"/>
    <col width="38" customWidth="1" min="6" max="6"/>
    <col width="15" customWidth="1" min="7" max="7"/>
    <col width="24" customWidth="1" min="8" max="8"/>
    <col width="11" customWidth="1" min="9" max="9"/>
    <col width="54" customWidth="1" min="10" max="10"/>
    <col width="40" customWidth="1" min="11" max="11"/>
  </cols>
  <sheetData>
    <row r="1">
      <c r="A1" s="1" t="inlineStr">
        <is>
          <t>BROOKLYN MUSEUM ／ 向島工房　動画制作</t>
        </is>
      </c>
    </row>
    <row r="2">
      <c r="A2" s="2" t="inlineStr">
        <is>
          <t>撮影機材と費用　低価格版とアップグレード版の比較</t>
        </is>
      </c>
    </row>
    <row r="3">
      <c r="A3" s="3" t="inlineStr">
        <is>
          <t>動画八本を一人で撮る前提。カメラはお手持ちのものを使い、それ以外に必要な機材を一枚にまとめています。</t>
        </is>
      </c>
    </row>
    <row r="4">
      <c r="A4" s="4" t="inlineStr">
        <is>
          <t>金額は前回調査した時点のものです。この環境から通販サイトに接続できないため、発注前にリンク先でご確認ください。</t>
        </is>
      </c>
    </row>
    <row r="6" ht="30" customHeight="1">
      <c r="A6" s="5" t="inlineStr">
        <is>
          <t>優先度</t>
        </is>
      </c>
      <c r="B6" s="5" t="inlineStr">
        <is>
          <t>品目</t>
        </is>
      </c>
      <c r="C6" s="5" t="inlineStr">
        <is>
          <t>低価格版　商品</t>
        </is>
      </c>
      <c r="D6" s="5" t="inlineStr">
        <is>
          <t>低価格版　価格</t>
        </is>
      </c>
      <c r="E6" s="5" t="inlineStr">
        <is>
          <t>低価格版　商品ページ</t>
        </is>
      </c>
      <c r="F6" s="5" t="inlineStr">
        <is>
          <t>アップグレード版　商品</t>
        </is>
      </c>
      <c r="G6" s="5" t="inlineStr">
        <is>
          <t>アップグレード版　価格</t>
        </is>
      </c>
      <c r="H6" s="5" t="inlineStr">
        <is>
          <t>アップグレード版　商品ページ</t>
        </is>
      </c>
      <c r="I6" s="5" t="inlineStr">
        <is>
          <t>差額</t>
        </is>
      </c>
      <c r="J6" s="5" t="inlineStr">
        <is>
          <t>何が変わるか</t>
        </is>
      </c>
      <c r="K6" s="5" t="inlineStr">
        <is>
          <t>価格の確度</t>
        </is>
      </c>
    </row>
    <row r="7" ht="58" customHeight="1">
      <c r="A7" s="6" t="inlineStr">
        <is>
          <t>A</t>
        </is>
      </c>
      <c r="B7" s="7" t="inlineStr">
        <is>
          <t>マイク（インタビュー用）</t>
        </is>
      </c>
      <c r="C7" s="8" t="inlineStr">
        <is>
          <t>買わない（ガンマイクで代用する）</t>
        </is>
      </c>
      <c r="D7" s="9" t="n">
        <v>0</v>
      </c>
      <c r="E7" s="8" t="inlineStr"/>
      <c r="F7" s="8" t="inlineStr">
        <is>
          <t>DJI Mic 2（送信機2＋受信機＋充電ケース）</t>
        </is>
      </c>
      <c r="G7" s="9" t="n">
        <v>34339</v>
      </c>
      <c r="H7" s="10" t="inlineStr">
        <is>
          <t>https://www.amazon.co.jp/dp/B0CFZX734J</t>
        </is>
      </c>
      <c r="I7" s="11">
        <f>G7-D7</f>
        <v/>
      </c>
      <c r="J7" s="8" t="inlineStr">
        <is>
          <t>インタビュー四人分の声が別物になる。服に留めるので口元三十センチで録れ、ガンマイクの「離れた音」ではなくなる。32bitフロート内部収録で音割れもしない</t>
        </is>
      </c>
      <c r="K7" s="8" t="inlineStr">
        <is>
          <t>低＝0円／上＝前回調査で実売を確認</t>
        </is>
      </c>
    </row>
    <row r="8" ht="58" customHeight="1">
      <c r="A8" s="6" t="inlineStr">
        <is>
          <t>A</t>
        </is>
      </c>
      <c r="B8" s="7" t="inlineStr">
        <is>
          <t>三脚（雲台付き）</t>
        </is>
      </c>
      <c r="C8" s="8" t="inlineStr">
        <is>
          <t>Velbon EX-440</t>
        </is>
      </c>
      <c r="D8" s="9" t="n">
        <v>3012</v>
      </c>
      <c r="E8" s="10" t="inlineStr">
        <is>
          <t>https://www.amazon.co.jp/dp/B0053CEPQU</t>
        </is>
      </c>
      <c r="F8" s="8" t="inlineStr">
        <is>
          <t>Manfrotto Befree live アルミニウムT三脚 ビデオ雲台キット（MVKBFRT-LIVE）</t>
        </is>
      </c>
      <c r="G8" s="9" t="n">
        <v>30800</v>
      </c>
      <c r="H8" s="10" t="inlineStr">
        <is>
          <t>https://www.ginichi.com/shop/products/detail.php?product_id=118199</t>
        </is>
      </c>
      <c r="I8" s="11">
        <f>G8-D8</f>
        <v/>
      </c>
      <c r="J8" s="8" t="inlineStr">
        <is>
          <t>フルード雲台になり、パン・ティルトがなめらかに止まる。三千円台の三脚は「置いて固定」はできるが、動かしながら撮るとカクつく</t>
        </is>
      </c>
      <c r="K8" s="8" t="inlineStr">
        <is>
          <t>低＝掲載に幅あり（3,012／6,018）／上＝店により幅あり（30,800〜40,800・表は銀一）</t>
        </is>
      </c>
    </row>
    <row r="9" ht="58" customHeight="1">
      <c r="A9" s="6" t="inlineStr">
        <is>
          <t>B</t>
        </is>
      </c>
      <c r="B9" s="7" t="inlineStr">
        <is>
          <t>マクロレンズ</t>
        </is>
      </c>
      <c r="C9" s="8" t="inlineStr">
        <is>
          <t>SONY E 30mm F3.5 Macro（SEL30M35）</t>
        </is>
      </c>
      <c r="D9" s="9" t="n">
        <v>27800</v>
      </c>
      <c r="E9" s="10" t="inlineStr">
        <is>
          <t>https://www.amazon.co.jp/dp/B0055MFTHM</t>
        </is>
      </c>
      <c r="F9" s="8" t="inlineStr">
        <is>
          <t>SIGMA 70mm F2.8 DG MACRO Art（ソニーE・中古）</t>
        </is>
      </c>
      <c r="G9" s="9" t="n">
        <v>52000</v>
      </c>
      <c r="H9" s="10" t="inlineStr">
        <is>
          <t>https://kakaku.com/item/K0001065920/</t>
        </is>
      </c>
      <c r="I9" s="11">
        <f>G9-D9</f>
        <v/>
      </c>
      <c r="J9" s="8" t="inlineStr">
        <is>
          <t>30mmは被写体に三センチまで寄る必要があり、カメラの影が革に落ちる。70mmなら離れて同じ大きさに撮れるので、コバ塗り・刻印の寄りが破綻しない</t>
        </is>
      </c>
      <c r="K9" s="8" t="inlineStr">
        <is>
          <t>低＝前回調査で実売を確認／上＝中古の幅あり（50,100〜53,700・表は中央値）</t>
        </is>
      </c>
    </row>
    <row r="10" ht="58" customHeight="1">
      <c r="A10" s="6" t="inlineStr">
        <is>
          <t>B</t>
        </is>
      </c>
      <c r="B10" s="7" t="inlineStr">
        <is>
          <t>照明（LED1灯）</t>
        </is>
      </c>
      <c r="C10" s="8" t="inlineStr">
        <is>
          <t>Neewer 二色660 LEDビデオライト</t>
        </is>
      </c>
      <c r="D10" s="9" t="n">
        <v>10949</v>
      </c>
      <c r="E10" s="10" t="inlineStr">
        <is>
          <t>https://www.amazon.co.jp/dp/B077Z61TPN</t>
        </is>
      </c>
      <c r="F10" s="8" t="inlineStr">
        <is>
          <t>Godox SL-60IID ＋ ソフトボックス</t>
        </is>
      </c>
      <c r="G10" s="9" t="n">
        <v>25000</v>
      </c>
      <c r="H10" s="10" t="inlineStr">
        <is>
          <t>https://item.rakuten.co.jp/phototiroya/268-00/</t>
        </is>
      </c>
      <c r="I10" s="11">
        <f>G10-D10</f>
        <v/>
      </c>
      <c r="J10" s="8" t="inlineStr">
        <is>
          <t>六十Wクラスの単灯になり、③の「黒背景に一灯」で光の芯が出る。ソフトボックスで影の硬さも調整できる。Bowensマウントなので後から拡張できる</t>
        </is>
      </c>
      <c r="K10" s="8" t="inlineStr">
        <is>
          <t>低＝前回調査で実売を確認／上＝概算（セット構成で変わる）</t>
        </is>
      </c>
    </row>
    <row r="11" ht="58" customHeight="1">
      <c r="A11" s="6" t="inlineStr">
        <is>
          <t>B</t>
        </is>
      </c>
      <c r="B11" s="7" t="inlineStr">
        <is>
          <t>ジンバル</t>
        </is>
      </c>
      <c r="C11" s="8" t="inlineStr">
        <is>
          <t>買わない（三脚と手持ちで代替する）</t>
        </is>
      </c>
      <c r="D11" s="9" t="n">
        <v>0</v>
      </c>
      <c r="E11" s="8" t="inlineStr"/>
      <c r="F11" s="8" t="inlineStr">
        <is>
          <t>Zhiyun Crane M3</t>
        </is>
      </c>
      <c r="G11" s="9" t="n">
        <v>20710</v>
      </c>
      <c r="H11" s="10" t="inlineStr">
        <is>
          <t>https://www.amazon.co.jp/dp/B09J4GXV63</t>
        </is>
      </c>
      <c r="I11" s="11">
        <f>G11-D11</f>
        <v/>
      </c>
      <c r="J11" s="8" t="inlineStr">
        <is>
          <t>④の街歩きと⑥の「工房を歩くカメラ」が安定する。手持ちの揺れを演出として残す方針なら、なくても成立する</t>
        </is>
      </c>
      <c r="K11" s="8" t="inlineStr">
        <is>
          <t>低＝0円／上＝前回調査で実売を確認</t>
        </is>
      </c>
    </row>
    <row r="12" ht="58" customHeight="1">
      <c r="A12" s="12" t="inlineStr">
        <is>
          <t>—</t>
        </is>
      </c>
      <c r="B12" s="7" t="inlineStr">
        <is>
          <t>音声レコーダー</t>
        </is>
      </c>
      <c r="C12" s="8" t="inlineStr">
        <is>
          <t>ZOOM H1essential</t>
        </is>
      </c>
      <c r="D12" s="9" t="n">
        <v>12626</v>
      </c>
      <c r="E12" s="10" t="inlineStr">
        <is>
          <t>https://www.amazon.co.jp/dp/B0CSL4PXDV</t>
        </is>
      </c>
      <c r="F12" s="8" t="inlineStr">
        <is>
          <t>同じもので十分</t>
        </is>
      </c>
      <c r="G12" s="9" t="n">
        <v>12626</v>
      </c>
      <c r="H12" s="10" t="inlineStr">
        <is>
          <t>https://www.amazon.co.jp/dp/B0CSL4PXDV</t>
        </is>
      </c>
      <c r="I12" s="11">
        <f>G12-D12</f>
        <v/>
      </c>
      <c r="J12" s="8" t="inlineStr">
        <is>
          <t>32bitフロートで音割れしないので、これ以上のグレードは今回の用途では効果が薄い</t>
        </is>
      </c>
      <c r="K12" s="8" t="inlineStr">
        <is>
          <t>前回調査で実売を確認</t>
        </is>
      </c>
    </row>
    <row r="13" ht="58" customHeight="1">
      <c r="A13" s="12" t="inlineStr">
        <is>
          <t>—</t>
        </is>
      </c>
      <c r="B13" s="7" t="inlineStr">
        <is>
          <t>ガンマイク</t>
        </is>
      </c>
      <c r="C13" s="8" t="inlineStr">
        <is>
          <t>RODE VideoMic GO II</t>
        </is>
      </c>
      <c r="D13" s="9" t="n">
        <v>16364</v>
      </c>
      <c r="E13" s="10" t="inlineStr">
        <is>
          <t>https://www.amazon.co.jp/dp/B09MRLGL7G</t>
        </is>
      </c>
      <c r="F13" s="8" t="inlineStr">
        <is>
          <t>同じもので十分</t>
        </is>
      </c>
      <c r="G13" s="9" t="n">
        <v>16364</v>
      </c>
      <c r="H13" s="10" t="inlineStr">
        <is>
          <t>https://www.amazon.co.jp/dp/B09MRLGL7G</t>
        </is>
      </c>
      <c r="I13" s="11">
        <f>G13-D13</f>
        <v/>
      </c>
      <c r="J13" s="8" t="inlineStr">
        <is>
          <t>作業音（刃・ミシン・コバ磨き）を狙うのがこのマイクの役割。声はDJI Mic 2に任せるので据え置き</t>
        </is>
      </c>
      <c r="K13" s="8" t="inlineStr">
        <is>
          <t>前回調査で実売を確認</t>
        </is>
      </c>
    </row>
    <row r="14" ht="58" customHeight="1">
      <c r="A14" s="12" t="inlineStr">
        <is>
          <t>—</t>
        </is>
      </c>
      <c r="B14" s="7" t="inlineStr">
        <is>
          <t>レフ板</t>
        </is>
      </c>
      <c r="C14" s="8" t="inlineStr">
        <is>
          <t>EMART レフ板 60cm 丸レフ板 5in1</t>
        </is>
      </c>
      <c r="D14" s="9" t="n">
        <v>1099</v>
      </c>
      <c r="E14" s="10" t="inlineStr">
        <is>
          <t>https://www.amazon.co.jp/dp/B0CHNY19K3</t>
        </is>
      </c>
      <c r="F14" s="8" t="inlineStr">
        <is>
          <t>同じもので十分</t>
        </is>
      </c>
      <c r="G14" s="9" t="n">
        <v>1099</v>
      </c>
      <c r="H14" s="10" t="inlineStr">
        <is>
          <t>https://www.amazon.co.jp/dp/B0CHNY19K3</t>
        </is>
      </c>
      <c r="I14" s="11">
        <f>G14-D14</f>
        <v/>
      </c>
      <c r="J14" s="8" t="inlineStr">
        <is>
          <t>上げても画に差が出ない。一灯だけだと影が硬くなるので反対側から起こす</t>
        </is>
      </c>
      <c r="K14" s="8" t="inlineStr">
        <is>
          <t>前々回調査時の値（前回は再確認できず）</t>
        </is>
      </c>
    </row>
    <row r="15" ht="58" customHeight="1">
      <c r="A15" s="12" t="inlineStr">
        <is>
          <t>—</t>
        </is>
      </c>
      <c r="B15" s="7" t="inlineStr">
        <is>
          <t>黒スチレンボード</t>
        </is>
      </c>
      <c r="C15" s="8" t="inlineStr">
        <is>
          <t>ブラックスチレンボード A2・5mm厚 ×2枚</t>
        </is>
      </c>
      <c r="D15" s="9" t="n">
        <v>1122</v>
      </c>
      <c r="E15" s="10" t="inlineStr">
        <is>
          <t>https://www.signmall.jp/item/10899910261.html</t>
        </is>
      </c>
      <c r="F15" s="8" t="inlineStr">
        <is>
          <t>同じもので十分</t>
        </is>
      </c>
      <c r="G15" s="9" t="n">
        <v>1122</v>
      </c>
      <c r="H15" s="10" t="inlineStr">
        <is>
          <t>https://www.signmall.jp/item/10899910261.html</t>
        </is>
      </c>
      <c r="I15" s="11">
        <f>G15-D15</f>
        <v/>
      </c>
      <c r="J15" s="8" t="inlineStr">
        <is>
          <t>上げても画に差が出ない。③の黒背景と、余計な光を止める遮光板</t>
        </is>
      </c>
      <c r="K15" s="8" t="inlineStr">
        <is>
          <t>前回調査で実売を確認（1枚561円×2）</t>
        </is>
      </c>
    </row>
    <row r="16" ht="58" customHeight="1">
      <c r="A16" s="12" t="inlineStr">
        <is>
          <t>—</t>
        </is>
      </c>
      <c r="B16" s="7" t="inlineStr">
        <is>
          <t>アクリル板</t>
        </is>
      </c>
      <c r="C16" s="8" t="inlineStr">
        <is>
          <t>PULUZ アクリル反射板 40cm（黒）</t>
        </is>
      </c>
      <c r="D16" s="9" t="n">
        <v>3000</v>
      </c>
      <c r="E16" s="10" t="inlineStr">
        <is>
          <t>https://www.amazon.co.jp/dp/B0C49DT18X</t>
        </is>
      </c>
      <c r="F16" s="8" t="inlineStr">
        <is>
          <t>同じもので十分</t>
        </is>
      </c>
      <c r="G16" s="9" t="n">
        <v>3000</v>
      </c>
      <c r="H16" s="10" t="inlineStr">
        <is>
          <t>https://www.amazon.co.jp/dp/B0C49DT18X</t>
        </is>
      </c>
      <c r="I16" s="11">
        <f>G16-D16</f>
        <v/>
      </c>
      <c r="J16" s="8" t="inlineStr">
        <is>
          <t>上げても画に差が出ない。製品を映り込ませる台</t>
        </is>
      </c>
      <c r="K16" s="8" t="inlineStr">
        <is>
          <t>概算（購入時に要確認）</t>
        </is>
      </c>
    </row>
    <row r="17" ht="58" customHeight="1">
      <c r="A17" s="12" t="inlineStr">
        <is>
          <t>—</t>
        </is>
      </c>
      <c r="B17" s="7" t="inlineStr">
        <is>
          <t>SDカード（任意）</t>
        </is>
      </c>
      <c r="C17" s="8" t="inlineStr">
        <is>
          <t>SanDisk Extreme 128GB（V30以上）</t>
        </is>
      </c>
      <c r="D17" s="9" t="n">
        <v>2500</v>
      </c>
      <c r="E17" s="10" t="inlineStr">
        <is>
          <t>https://www.amazon.co.jp/s?k=SanDisk+Extreme+SD+128GB+V30</t>
        </is>
      </c>
      <c r="F17" s="8" t="inlineStr">
        <is>
          <t>同じもので十分</t>
        </is>
      </c>
      <c r="G17" s="9" t="n">
        <v>2500</v>
      </c>
      <c r="H17" s="10" t="inlineStr">
        <is>
          <t>https://www.amazon.co.jp/s?k=SanDisk+Extreme+SD+128GB+V30</t>
        </is>
      </c>
      <c r="I17" s="11">
        <f>G17-D17</f>
        <v/>
      </c>
      <c r="J17" s="8" t="inlineStr">
        <is>
          <t>四K動画ならV30で足りる。お使いのカメラのカードをそのまま使えるなら買わなくてよい</t>
        </is>
      </c>
      <c r="K17" s="8" t="inlineStr">
        <is>
          <t>概算（商品ページ未特定・リンクは検索結果）</t>
        </is>
      </c>
    </row>
    <row r="18" ht="58" customHeight="1">
      <c r="A18" s="12" t="inlineStr">
        <is>
          <t>—</t>
        </is>
      </c>
      <c r="B18" s="7" t="inlineStr">
        <is>
          <t>予備バッテリー</t>
        </is>
      </c>
      <c r="C18" s="8" t="inlineStr">
        <is>
          <t>買わない（本体付属の一個で回す）</t>
        </is>
      </c>
      <c r="D18" s="9" t="n">
        <v>0</v>
      </c>
      <c r="E18" s="8" t="inlineStr"/>
      <c r="F18" s="8" t="inlineStr">
        <is>
          <t>NP-FW50 互換2個＋充電器セット</t>
        </is>
      </c>
      <c r="G18" s="9" t="n">
        <v>3300</v>
      </c>
      <c r="H18" s="8" t="inlineStr"/>
      <c r="I18" s="11">
        <f>G18-D18</f>
        <v/>
      </c>
      <c r="J18" s="8" t="inlineStr">
        <is>
          <t>一日で撮り切らず日を分ければ、本体付属の一個で足りる。連日撮るなら足す</t>
        </is>
      </c>
      <c r="K18" s="8" t="inlineStr">
        <is>
          <t>低＝0円／上＝前回調査時の値（商品ページ未特定）</t>
        </is>
      </c>
    </row>
    <row r="19" ht="26" customHeight="1">
      <c r="A19" s="13" t="n"/>
      <c r="B19" s="14" t="inlineStr">
        <is>
          <t>合計</t>
        </is>
      </c>
      <c r="C19" s="13" t="n"/>
      <c r="D19" s="15">
        <f>SUM(D7:D18)</f>
        <v/>
      </c>
      <c r="E19" s="13" t="n"/>
      <c r="F19" s="13" t="n"/>
      <c r="G19" s="15">
        <f>SUM(G7:G18)</f>
        <v/>
      </c>
      <c r="H19" s="13" t="n"/>
      <c r="I19" s="15">
        <f>G19-D19</f>
        <v/>
      </c>
      <c r="J19" s="13" t="n"/>
      <c r="K19" s="13" t="n"/>
    </row>
    <row r="21">
      <c r="B21" s="16" t="inlineStr">
        <is>
          <t>三つの選び方</t>
        </is>
      </c>
    </row>
    <row r="22" ht="22" customHeight="1">
      <c r="B22" s="17" t="inlineStr">
        <is>
          <t>① 低価格版のまま</t>
        </is>
      </c>
      <c r="C22" s="13" t="n"/>
      <c r="D22" s="18">
        <f>D19</f>
        <v/>
      </c>
      <c r="E22" s="13" t="n"/>
      <c r="F22" s="19" t="inlineStr">
        <is>
          <t>いま組んである最小構成。八本すべて撮り切れます。</t>
        </is>
      </c>
    </row>
    <row r="23" ht="22" customHeight="1">
      <c r="B23" s="17" t="inlineStr">
        <is>
          <t>② 音と支えだけ上げる（優先度A）</t>
        </is>
      </c>
      <c r="C23" s="13" t="n"/>
      <c r="D23" s="18">
        <f>D19+I7+I8</f>
        <v/>
      </c>
      <c r="E23" s="13" t="n"/>
      <c r="F23" s="19" t="inlineStr">
        <is>
          <t>マイクと三脚だけアップグレード。インタビュー四人分の声と、動かすカットの安定がいちばん変わります。</t>
        </is>
      </c>
    </row>
    <row r="24" ht="22" customHeight="1">
      <c r="B24" s="17" t="inlineStr">
        <is>
          <t>③ 全部上げる</t>
        </is>
      </c>
      <c r="C24" s="13" t="n"/>
      <c r="D24" s="18">
        <f>G19</f>
        <v/>
      </c>
      <c r="E24" s="13" t="n"/>
      <c r="F24" s="19" t="inlineStr">
        <is>
          <t>アップグレード版の合計。</t>
        </is>
      </c>
    </row>
    <row r="27">
      <c r="A27" s="20" t="inlineStr">
        <is>
          <t>価格について（必ずお読みください）</t>
        </is>
      </c>
    </row>
    <row r="28">
      <c r="A28" s="1" t="inlineStr">
        <is>
          <t>・この資料を作った作業環境からは、Amazon・価格.com・楽天・サインモール・サクラチェッカーのいずれにも接続できません。</t>
        </is>
      </c>
    </row>
    <row r="29">
      <c r="A29" s="1" t="inlineStr">
        <is>
          <t xml:space="preserve">　そのため、表の金額は前回調査した時点のものです。リンク先の今の金額と違っていることがあります。</t>
        </is>
      </c>
    </row>
    <row r="30">
      <c r="A30" s="1" t="inlineStr">
        <is>
          <t>・「確度」列に、その金額がどこまで確かかを一件ずつ書いてあります。発注前に、リンクを開いて金額をご確認ください。</t>
        </is>
      </c>
    </row>
    <row r="31">
      <c r="A31" s="1" t="inlineStr">
        <is>
          <t>・幅があるもの：三脚（低3,012／6,018、上30,800〜40,800）、マクロレンズの上（中古50,100〜53,700）。</t>
        </is>
      </c>
    </row>
    <row r="32">
      <c r="A32" s="1" t="inlineStr">
        <is>
          <t>・概算のもの：照明の上、アクリル板、SDカード、予備バッテリー。</t>
        </is>
      </c>
    </row>
    <row r="33">
      <c r="A33" s="1" t="inlineStr"/>
    </row>
    <row r="34">
      <c r="A34" s="21" t="inlineStr">
        <is>
          <t>表の見かた</t>
        </is>
      </c>
    </row>
    <row r="35">
      <c r="A35" s="1" t="inlineStr">
        <is>
          <t>・優先度A＝いちばん効く二つ（音と、カメラの支え）。B＝画づくりが変わる。「—」は上げても差が出ないので据え置きです。</t>
        </is>
      </c>
    </row>
    <row r="36">
      <c r="A36" s="1" t="inlineStr">
        <is>
          <t>・「買わない」と書いた行は低価格版では0円です。アップグレード版で初めて買う機材です。</t>
        </is>
      </c>
    </row>
    <row r="37">
      <c r="A37" s="1" t="inlineStr">
        <is>
          <t>・薄い黄色のセルを書き換えると、差額と三つの合計が自動で計算し直されます。</t>
        </is>
      </c>
    </row>
    <row r="38">
      <c r="A38" s="1" t="inlineStr">
        <is>
          <t>・カメラ本体はお手持ちのものを使う前提のため、この表には入っていません。</t>
        </is>
      </c>
    </row>
    <row r="39">
      <c r="A39" s="1" t="inlineStr"/>
    </row>
    <row r="40">
      <c r="A40" s="21" t="inlineStr">
        <is>
          <t>評価とサクラチェックについて</t>
        </is>
      </c>
    </row>
    <row r="41">
      <c r="A41" s="1" t="inlineStr">
        <is>
          <t>・カメラ用品はソニー純正、音声はZOOM・RODE・DJIという実績あるメーカーの製品から選びました。</t>
        </is>
      </c>
    </row>
    <row r="42">
      <c r="A42" s="1" t="inlineStr">
        <is>
          <t>・無名ブランドの安価な音声機材は、レビューが操作されている可能性があるため外しています。</t>
        </is>
      </c>
    </row>
    <row r="43">
      <c r="A43" s="1" t="inlineStr">
        <is>
          <t>・ZOOM H1essentialの評価（4.53／5・32件）はYahoo!ショッピングの掲載値です。リンク先のAmazonの評価ではありません。</t>
        </is>
      </c>
    </row>
    <row r="44">
      <c r="A44" s="1" t="inlineStr">
        <is>
          <t>・この環境からはサクラチェッカーを開けないため、自動判定はできていません。発注前にURLを貼って判定してください。</t>
        </is>
      </c>
    </row>
    <row r="45">
      <c r="A45" s="1" t="inlineStr"/>
    </row>
    <row r="46">
      <c r="A46" s="21" t="inlineStr">
        <is>
          <t>注意</t>
        </is>
      </c>
    </row>
    <row r="47">
      <c r="A47" s="1" t="inlineStr">
        <is>
          <t>・マクロレンズはソニーEマウント専用です。お使いのカメラが別マウントの場合は、同じ焦点距離帯のものに読み替えてください。</t>
        </is>
      </c>
    </row>
    <row r="48">
      <c r="A48" s="1" t="inlineStr">
        <is>
          <t>・アップグレード版のマクロレンズは中古価格です。新品にする場合は金額が上がります。</t>
        </is>
      </c>
    </row>
    <row r="49">
      <c r="A49" s="1" t="inlineStr">
        <is>
          <t>・撮影するカットの一覧は別ファイル「02_場面別ショットリスト.xlsx」にあります。</t>
        </is>
      </c>
    </row>
  </sheetData>
  <hyperlinks>
    <hyperlink xmlns:r="http://schemas.openxmlformats.org/officeDocument/2006/relationships" ref="H7" r:id="rId1"/>
    <hyperlink xmlns:r="http://schemas.openxmlformats.org/officeDocument/2006/relationships" ref="E8" r:id="rId2"/>
    <hyperlink xmlns:r="http://schemas.openxmlformats.org/officeDocument/2006/relationships" ref="H8" r:id="rId3"/>
    <hyperlink xmlns:r="http://schemas.openxmlformats.org/officeDocument/2006/relationships" ref="E9" r:id="rId4"/>
    <hyperlink xmlns:r="http://schemas.openxmlformats.org/officeDocument/2006/relationships" ref="H9" r:id="rId5"/>
    <hyperlink xmlns:r="http://schemas.openxmlformats.org/officeDocument/2006/relationships" ref="E10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E12" r:id="rId9"/>
    <hyperlink xmlns:r="http://schemas.openxmlformats.org/officeDocument/2006/relationships" ref="H12" r:id="rId10"/>
    <hyperlink xmlns:r="http://schemas.openxmlformats.org/officeDocument/2006/relationships" ref="E13" r:id="rId11"/>
    <hyperlink xmlns:r="http://schemas.openxmlformats.org/officeDocument/2006/relationships" ref="H13" r:id="rId12"/>
    <hyperlink xmlns:r="http://schemas.openxmlformats.org/officeDocument/2006/relationships" ref="E14" r:id="rId13"/>
    <hyperlink xmlns:r="http://schemas.openxmlformats.org/officeDocument/2006/relationships" ref="H14" r:id="rId14"/>
    <hyperlink xmlns:r="http://schemas.openxmlformats.org/officeDocument/2006/relationships" ref="E15" r:id="rId15"/>
    <hyperlink xmlns:r="http://schemas.openxmlformats.org/officeDocument/2006/relationships" ref="H15" r:id="rId16"/>
    <hyperlink xmlns:r="http://schemas.openxmlformats.org/officeDocument/2006/relationships" ref="E16" r:id="rId17"/>
    <hyperlink xmlns:r="http://schemas.openxmlformats.org/officeDocument/2006/relationships" ref="H16" r:id="rId18"/>
    <hyperlink xmlns:r="http://schemas.openxmlformats.org/officeDocument/2006/relationships" ref="E17" r:id="rId19"/>
    <hyperlink xmlns:r="http://schemas.openxmlformats.org/officeDocument/2006/relationships" ref="H17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2026-09-06T13:15:31Z</dcterms:created>
  <dcterms:modified xmlns:dcterms="http://purl.org/dc/terms/" xmlns:xsi="http://www.w3.org/2001/XMLSchema-instance" xsi:type="dcterms:W3CDTF">2026-09-06T13:15:31Z</dcterms:modified>
</cp:coreProperties>
</file>